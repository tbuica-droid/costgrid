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<sst xmlns="http://schemas.openxmlformats.org/spreadsheetml/2006/main" count="118" uniqueCount="111">
  <si>
    <t xml:space="preserve">COSTGRID — LLM TOKEN COST FORECAST MODEL</t>
  </si>
  <si>
    <t xml:space="preserve">Blue = input (change me). Black = formula. All prices blended $/M tokens at 3:1 input:output. Companion to the CostGrid dashboard.</t>
  </si>
  <si>
    <t xml:space="preserve">1 · PRICE MODULE — tier price decays to a hardware floor</t>
  </si>
  <si>
    <t xml:space="preserve">Hardware floor ($/Mtok)</t>
  </si>
  <si>
    <t xml:space="preserve">Source: Spheron GPU cost/token benchmark, Apr 2026 — electricity-only floor $0.02–0.15</t>
  </si>
  <si>
    <t xml:space="preserve">p 2023</t>
  </si>
  <si>
    <t xml:space="preserve">p 2026</t>
  </si>
  <si>
    <t xml:space="preserve">decline %/yr</t>
  </si>
  <si>
    <t xml:space="preserve">Frontier flagship</t>
  </si>
  <si>
    <t xml:space="preserve">2026: Opus 4.8 $5/$25 → $10.00; GPT-5.5 $5/$30 → $11.25. Decline: Du arXiv:2603.28576 — flagship tier resists decay</t>
  </si>
  <si>
    <t xml:space="preserve">Mid-tier</t>
  </si>
  <si>
    <t xml:space="preserve">2026: Sonnet 4.6 $3/$15 → $6.00; Gemini 3.1 Pro $2/$12 → $4.50</t>
  </si>
  <si>
    <t xml:space="preserve">Budget small</t>
  </si>
  <si>
    <t xml:space="preserve">2026: Gemini Flash-Lite $0.25/$1.50 → $0.56. Decline = Du economy half-life ~1.1 yr</t>
  </si>
  <si>
    <t xml:space="preserve">Open-weight commodity</t>
  </si>
  <si>
    <t xml:space="preserve">2026: DeepSeek V4 Flash $0.14/$0.28 → $0.175; V4-Pro → $0.54. Decline = economy half-life ~1.1 yr</t>
  </si>
  <si>
    <t xml:space="preserve">2 · ROUTING MODULE — blended price vs. substitution share</t>
  </si>
  <si>
    <t xml:space="preserve">Routing overhead on open slice</t>
  </si>
  <si>
    <t xml:space="preserve">evals, fallback, orchestration on the substituted slice</t>
  </si>
  <si>
    <t xml:space="preserve">Risk-penalty exponent N</t>
  </si>
  <si>
    <t xml:space="preserve">convexity of misrouting cost: penalty = k·frontier·s^N</t>
  </si>
  <si>
    <t xml:space="preserve">Risk coefficient k — 2023</t>
  </si>
  <si>
    <t xml:space="preserve">exit-multiple impairment of misrouted high-stakes work</t>
  </si>
  <si>
    <t xml:space="preserve">Risk coefficient k — 2026</t>
  </si>
  <si>
    <t xml:space="preserve">calibrated so risk-adjusted optimum ≈ 83% in 2026</t>
  </si>
  <si>
    <t xml:space="preserve">Risk coefficient k — 2030</t>
  </si>
  <si>
    <t xml:space="preserve">falls as Western open ecosystem matures → optimum ≈ 90%</t>
  </si>
  <si>
    <t xml:space="preserve">3 · VOLUME MODULE — tokens per customer interaction (logistic)</t>
  </si>
  <si>
    <t xml:space="preserve">Tokens/interaction — 2023 pattern</t>
  </si>
  <si>
    <t xml:space="preserve">single chat call</t>
  </si>
  <si>
    <t xml:space="preserve">Tokens/interaction — plateau</t>
  </si>
  <si>
    <t xml:space="preserve">multi-step agentic orchestration, net of caching/efficiency; OpenRouter: agents ≈15x tokens/request and multi-call</t>
  </si>
  <si>
    <t xml:space="preserve">Logistic slope</t>
  </si>
  <si>
    <t xml:space="preserve">how fast the agentic pattern takes over</t>
  </si>
  <si>
    <t xml:space="preserve">Logistic midpoint (yrs after 2026)</t>
  </si>
  <si>
    <t xml:space="preserve">EY anchor — cost/interaction 2023</t>
  </si>
  <si>
    <t xml:space="preserve">Source: EY Total Cost of Agents (2026)</t>
  </si>
  <si>
    <t xml:space="preserve">EY anchor — cost/interaction 2026</t>
  </si>
  <si>
    <t xml:space="preserve">4 · SPEND MODULE (Jevons)</t>
  </si>
  <si>
    <t xml:space="preserve">Enterprise GenAI spend 2023 ($B)</t>
  </si>
  <si>
    <t xml:space="preserve">Source: Menlo Ventures, State of GenAI in the Enterprise, Dec 2025</t>
  </si>
  <si>
    <t xml:space="preserve">Enterprise GenAI spend 2024 ($B)</t>
  </si>
  <si>
    <t xml:space="preserve">Menlo, ibid.</t>
  </si>
  <si>
    <t xml:space="preserve">Enterprise GenAI spend 2025 ($B)</t>
  </si>
  <si>
    <t xml:space="preserve">Volume growth ×/yr 2026→2030</t>
  </si>
  <si>
    <t xml:space="preserve">decaying adoption-driven growth; OpenRouter volume ×5 in 6 months (2026) supports the near-term rate</t>
  </si>
  <si>
    <t xml:space="preserve">5 · SEAT-PRICING MODULE (2026–2030)</t>
  </si>
  <si>
    <t xml:space="preserve">Frontier seat price 2026 ($/mo)</t>
  </si>
  <si>
    <t xml:space="preserve">OpenAI Pro anchor; Altman: 'losing money' on it (Jan 2025)</t>
  </si>
  <si>
    <t xml:space="preserve">Seat drift if subsidy continues (%/yr)</t>
  </si>
  <si>
    <t xml:space="preserve">land-grab: gentle decline</t>
  </si>
  <si>
    <t xml:space="preserve">Repricing hump if subsidy unwinds</t>
  </si>
  <si>
    <t xml:space="preserve">+25–35% near IPOs, then falls back as compute cheapens</t>
  </si>
  <si>
    <t xml:space="preserve">Blended cost-to-serve 2026 ($/mo)</t>
  </si>
  <si>
    <t xml:space="preserve">illustrative</t>
  </si>
  <si>
    <t xml:space="preserve">Cost-to-serve decline (%/yr)</t>
  </si>
  <si>
    <t xml:space="preserve">tracks frontier price decline</t>
  </si>
  <si>
    <t xml:space="preserve">6 · EBITDA / EXIT MODULE</t>
  </si>
  <si>
    <t xml:space="preserve">AI run-cost today, frontier-default ($M)</t>
  </si>
  <si>
    <t xml:space="preserve">illustrative mid-size portfolio company</t>
  </si>
  <si>
    <t xml:space="preserve">Substitution share applied</t>
  </si>
  <si>
    <t xml:space="preserve">risk-adjusted routing decision</t>
  </si>
  <si>
    <t xml:space="preserve">Net saving on AI run-cost line</t>
  </si>
  <si>
    <t xml:space="preserve">token line falls ~69% at s=0.80 (see Model!B44); net ~60% after hosting/observability overhead</t>
  </si>
  <si>
    <t xml:space="preserve">Exit multiple</t>
  </si>
  <si>
    <t xml:space="preserve">EV/EBITDA</t>
  </si>
  <si>
    <t xml:space="preserve">MODEL — all cells are formulas driven by the Assumptions sheet</t>
  </si>
  <si>
    <t xml:space="preserve">Year</t>
  </si>
  <si>
    <t xml:space="preserve">PRICES  ($/Mtok, blended 3:1)</t>
  </si>
  <si>
    <t xml:space="preserve">Frontier — convergence scenario</t>
  </si>
  <si>
    <t xml:space="preserve">post-2026 frontier competed at the economy decline rate</t>
  </si>
  <si>
    <t xml:space="preserve">ROUTING  (substitution share s → blended effective price)</t>
  </si>
  <si>
    <t xml:space="preserve">Risk coefficient k (interpolated)</t>
  </si>
  <si>
    <t xml:space="preserve">Optimum substitution share s*</t>
  </si>
  <si>
    <t xml:space="preserve">s* = ((f − o(1+ov)) / (k·f·N))^(1/(N−1)) — first-order condition</t>
  </si>
  <si>
    <t xml:space="preserve">Blended price at optimum</t>
  </si>
  <si>
    <t xml:space="preserve">Realized substitution share (input)</t>
  </si>
  <si>
    <t xml:space="preserve">what firms actually route — Menlo: measured open usage ~11–13% (2025); maturing FinOps closes the gap</t>
  </si>
  <si>
    <t xml:space="preserve">Blended effective price (realized)</t>
  </si>
  <si>
    <t xml:space="preserve">VOLUME  (tokens per customer interaction)</t>
  </si>
  <si>
    <t xml:space="preserve">Raw logistic (pattern shift)</t>
  </si>
  <si>
    <t xml:space="preserve">Tokens implied by EY anchors</t>
  </si>
  <si>
    <t xml:space="preserve">2023 and 2026 pin the curve to EY $0.04 / $1.20</t>
  </si>
  <si>
    <t xml:space="preserve">Tokens per interaction (calibrated)</t>
  </si>
  <si>
    <t xml:space="preserve">raw logistic linearly mapped through the two EY anchors</t>
  </si>
  <si>
    <t xml:space="preserve">COST PER TASK / INTERACTION  ($)</t>
  </si>
  <si>
    <t xml:space="preserve">At realized routing</t>
  </si>
  <si>
    <t xml:space="preserve">At optimum routing</t>
  </si>
  <si>
    <t xml:space="preserve">the Agentic-FinOps prize: the gap between these two rows</t>
  </si>
  <si>
    <t xml:space="preserve">SPEND  (Jevons: price × volume)</t>
  </si>
  <si>
    <t xml:space="preserve">Volume index (Mtok, implied)</t>
  </si>
  <si>
    <t xml:space="preserve">2023–25 backed out of Menlo actuals; 2026–30 grown at decaying rates</t>
  </si>
  <si>
    <t xml:space="preserve">Enterprise GenAI spend ($B)</t>
  </si>
  <si>
    <t xml:space="preserve">KEY OUTPUTS</t>
  </si>
  <si>
    <t xml:space="preserve">Frontier / open gap — 2026</t>
  </si>
  <si>
    <t xml:space="preserve">Frontier / open gap — 2030 (bifurcate)</t>
  </si>
  <si>
    <t xml:space="preserve">Frontier / open gap — 2030 (converge)</t>
  </si>
  <si>
    <t xml:space="preserve">Token index 2030 (2023 = 1)</t>
  </si>
  <si>
    <t xml:space="preserve">Peak cost per interaction ($)</t>
  </si>
  <si>
    <t xml:space="preserve">EY check 2023 (must equal $0.04)</t>
  </si>
  <si>
    <t xml:space="preserve">EY check 2026 (must equal $1.20)</t>
  </si>
  <si>
    <t xml:space="preserve">SEAT PRICING  ($/frontier-reasoning seat/mo, 2026–2030)</t>
  </si>
  <si>
    <t xml:space="preserve">If subsidy continues</t>
  </si>
  <si>
    <t xml:space="preserve">If subsidy unwinds (hump)</t>
  </si>
  <si>
    <t xml:space="preserve">Blended cost-to-serve floor</t>
  </si>
  <si>
    <t xml:space="preserve">EBITDA / EXIT BRIDGE  ($M)</t>
  </si>
  <si>
    <t xml:space="preserve">Token-line ratio at chosen s (2026)</t>
  </si>
  <si>
    <t xml:space="preserve">AI run-cost now</t>
  </si>
  <si>
    <t xml:space="preserve">AI run-cost optimized</t>
  </si>
  <si>
    <t xml:space="preserve">Annual saving → EBITDA</t>
  </si>
  <si>
    <t xml:space="preserve">Enterprise value at exit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</si>
</sst>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.00"/>
    <numFmt numFmtId="166" formatCode="0.0%"/>
    <numFmt numFmtId="167" formatCode="0"/>
    <numFmt numFmtId="168" formatCode="0.00"/>
    <numFmt numFmtId="169" formatCode="#,##0"/>
    <numFmt numFmtId="170" formatCode="0.0"/>
    <numFmt numFmtId="171" formatCode="\$0.000"/>
    <numFmt numFmtId="172" formatCode="\$#,##0.0"/>
    <numFmt numFmtId="173" formatCode="0.00\x"/>
    <numFmt numFmtId="174" formatCode="\$#,##0"/>
    <numFmt numFmtId="175" formatCode="0\x"/>
    <numFmt numFmtId="176" formatCode="\$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7A88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DF2F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896"/>
      <rgbColor rgb="FF9999FF"/>
      <rgbColor rgb="FF993366"/>
      <rgbColor rgb="FFEDF2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2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0" t="s">
        <v>3</v>
      </c>
      <c r="B5" s="5" t="n">
        <v>0.04</v>
      </c>
      <c r="G5" s="2" t="s">
        <v>4</v>
      </c>
    </row>
    <row r="6" customFormat="false" ht="15" hidden="false" customHeight="false" outlineLevel="0" collapsed="false">
      <c r="B6" s="6" t="s">
        <v>5</v>
      </c>
      <c r="C6" s="6" t="s">
        <v>6</v>
      </c>
      <c r="D6" s="6" t="s">
        <v>7</v>
      </c>
    </row>
    <row r="7" customFormat="false" ht="15" hidden="false" customHeight="false" outlineLevel="0" collapsed="false">
      <c r="A7" s="7" t="s">
        <v>8</v>
      </c>
      <c r="B7" s="8" t="n">
        <v>37.5</v>
      </c>
      <c r="C7" s="8" t="n">
        <v>10</v>
      </c>
      <c r="D7" s="9" t="n">
        <v>0.18</v>
      </c>
      <c r="G7" s="2" t="s">
        <v>9</v>
      </c>
    </row>
    <row r="8" customFormat="false" ht="15" hidden="false" customHeight="false" outlineLevel="0" collapsed="false">
      <c r="A8" s="7" t="s">
        <v>10</v>
      </c>
      <c r="B8" s="8" t="n">
        <v>15</v>
      </c>
      <c r="C8" s="8" t="n">
        <v>5</v>
      </c>
      <c r="D8" s="10" t="n">
        <v>0.35</v>
      </c>
      <c r="G8" s="2" t="s">
        <v>11</v>
      </c>
    </row>
    <row r="9" customFormat="false" ht="15" hidden="false" customHeight="false" outlineLevel="0" collapsed="false">
      <c r="A9" s="7" t="s">
        <v>12</v>
      </c>
      <c r="B9" s="8" t="n">
        <v>1</v>
      </c>
      <c r="C9" s="8" t="n">
        <v>0.55</v>
      </c>
      <c r="D9" s="10" t="n">
        <v>0.467</v>
      </c>
      <c r="G9" s="2" t="s">
        <v>13</v>
      </c>
    </row>
    <row r="10" customFormat="false" ht="15" hidden="false" customHeight="false" outlineLevel="0" collapsed="false">
      <c r="A10" s="7" t="s">
        <v>14</v>
      </c>
      <c r="B10" s="8" t="n">
        <v>2</v>
      </c>
      <c r="C10" s="8" t="n">
        <v>0.35</v>
      </c>
      <c r="D10" s="10" t="n">
        <v>0.467</v>
      </c>
      <c r="G10" s="2" t="s">
        <v>15</v>
      </c>
    </row>
    <row r="12" customFormat="false" ht="15" hidden="false" customHeight="false" outlineLevel="0" collapsed="false">
      <c r="A12" s="3" t="s">
        <v>16</v>
      </c>
      <c r="B12" s="4"/>
      <c r="C12" s="4"/>
      <c r="D12" s="4"/>
      <c r="E12" s="4"/>
      <c r="F12" s="4"/>
    </row>
    <row r="13" customFormat="false" ht="15" hidden="false" customHeight="false" outlineLevel="0" collapsed="false">
      <c r="A13" s="7" t="s">
        <v>17</v>
      </c>
      <c r="B13" s="10" t="n">
        <v>0.15</v>
      </c>
      <c r="G13" s="2" t="s">
        <v>18</v>
      </c>
    </row>
    <row r="14" customFormat="false" ht="15" hidden="false" customHeight="false" outlineLevel="0" collapsed="false">
      <c r="A14" s="7" t="s">
        <v>19</v>
      </c>
      <c r="B14" s="11" t="n">
        <v>8</v>
      </c>
      <c r="G14" s="2" t="s">
        <v>20</v>
      </c>
    </row>
    <row r="15" customFormat="false" ht="15" hidden="false" customHeight="false" outlineLevel="0" collapsed="false">
      <c r="A15" s="7" t="s">
        <v>21</v>
      </c>
      <c r="B15" s="12" t="n">
        <v>0.55</v>
      </c>
      <c r="G15" s="2" t="s">
        <v>22</v>
      </c>
    </row>
    <row r="16" customFormat="false" ht="15" hidden="false" customHeight="false" outlineLevel="0" collapsed="false">
      <c r="A16" s="7" t="s">
        <v>23</v>
      </c>
      <c r="B16" s="13" t="n">
        <v>0.46</v>
      </c>
      <c r="G16" s="2" t="s">
        <v>24</v>
      </c>
    </row>
    <row r="17" customFormat="false" ht="15" hidden="false" customHeight="false" outlineLevel="0" collapsed="false">
      <c r="A17" s="7" t="s">
        <v>25</v>
      </c>
      <c r="B17" s="13" t="n">
        <v>0.26</v>
      </c>
      <c r="G17" s="2" t="s">
        <v>26</v>
      </c>
    </row>
    <row r="19" customFormat="false" ht="15" hidden="false" customHeight="false" outlineLevel="0" collapsed="false">
      <c r="A19" s="3" t="s">
        <v>27</v>
      </c>
      <c r="B19" s="4"/>
      <c r="C19" s="4"/>
      <c r="D19" s="4"/>
      <c r="E19" s="4"/>
      <c r="F19" s="4"/>
    </row>
    <row r="20" customFormat="false" ht="15" hidden="false" customHeight="false" outlineLevel="0" collapsed="false">
      <c r="A20" s="7" t="s">
        <v>28</v>
      </c>
      <c r="B20" s="14" t="n">
        <v>1000</v>
      </c>
      <c r="G20" s="2" t="s">
        <v>29</v>
      </c>
    </row>
    <row r="21" customFormat="false" ht="15" hidden="false" customHeight="false" outlineLevel="0" collapsed="false">
      <c r="A21" s="7" t="s">
        <v>30</v>
      </c>
      <c r="B21" s="15" t="n">
        <v>400000</v>
      </c>
      <c r="G21" s="2" t="s">
        <v>31</v>
      </c>
    </row>
    <row r="22" customFormat="false" ht="15" hidden="false" customHeight="false" outlineLevel="0" collapsed="false">
      <c r="A22" s="7" t="s">
        <v>32</v>
      </c>
      <c r="B22" s="16" t="n">
        <v>2</v>
      </c>
      <c r="G22" s="2" t="s">
        <v>33</v>
      </c>
    </row>
    <row r="23" customFormat="false" ht="15" hidden="false" customHeight="false" outlineLevel="0" collapsed="false">
      <c r="A23" s="7" t="s">
        <v>34</v>
      </c>
      <c r="B23" s="12" t="n">
        <v>0.3</v>
      </c>
      <c r="G23" s="2"/>
    </row>
    <row r="24" customFormat="false" ht="15" hidden="false" customHeight="false" outlineLevel="0" collapsed="false">
      <c r="A24" s="7" t="s">
        <v>35</v>
      </c>
      <c r="B24" s="17" t="n">
        <v>0.04</v>
      </c>
      <c r="G24" s="2" t="s">
        <v>36</v>
      </c>
    </row>
    <row r="25" customFormat="false" ht="15" hidden="false" customHeight="false" outlineLevel="0" collapsed="false">
      <c r="A25" s="7" t="s">
        <v>37</v>
      </c>
      <c r="B25" s="17" t="n">
        <v>1.2</v>
      </c>
      <c r="G25" s="2" t="s">
        <v>36</v>
      </c>
    </row>
    <row r="27" customFormat="false" ht="15" hidden="false" customHeight="false" outlineLevel="0" collapsed="false">
      <c r="A27" s="3" t="s">
        <v>38</v>
      </c>
      <c r="B27" s="4"/>
      <c r="C27" s="4"/>
      <c r="D27" s="4"/>
      <c r="E27" s="4"/>
      <c r="F27" s="4"/>
    </row>
    <row r="28" customFormat="false" ht="15" hidden="false" customHeight="false" outlineLevel="0" collapsed="false">
      <c r="A28" s="7" t="s">
        <v>39</v>
      </c>
      <c r="B28" s="18" t="n">
        <v>1.7</v>
      </c>
      <c r="G28" s="2" t="s">
        <v>40</v>
      </c>
    </row>
    <row r="29" customFormat="false" ht="15" hidden="false" customHeight="false" outlineLevel="0" collapsed="false">
      <c r="A29" s="7" t="s">
        <v>41</v>
      </c>
      <c r="B29" s="18" t="n">
        <v>11.5</v>
      </c>
      <c r="G29" s="2" t="s">
        <v>42</v>
      </c>
    </row>
    <row r="30" customFormat="false" ht="15" hidden="false" customHeight="false" outlineLevel="0" collapsed="false">
      <c r="A30" s="7" t="s">
        <v>43</v>
      </c>
      <c r="B30" s="18" t="n">
        <v>37</v>
      </c>
      <c r="G30" s="2" t="s">
        <v>42</v>
      </c>
    </row>
    <row r="31" customFormat="false" ht="15" hidden="false" customHeight="false" outlineLevel="0" collapsed="false">
      <c r="A31" s="7" t="s">
        <v>44</v>
      </c>
      <c r="B31" s="19" t="n">
        <v>3</v>
      </c>
      <c r="C31" s="19" t="n">
        <v>2.3</v>
      </c>
      <c r="D31" s="19" t="n">
        <v>1.9</v>
      </c>
      <c r="E31" s="19" t="n">
        <v>1.6</v>
      </c>
      <c r="F31" s="19" t="n">
        <v>1.45</v>
      </c>
      <c r="G31" s="2" t="s">
        <v>45</v>
      </c>
    </row>
    <row r="33" customFormat="false" ht="15" hidden="false" customHeight="false" outlineLevel="0" collapsed="false">
      <c r="A33" s="3" t="s">
        <v>46</v>
      </c>
      <c r="B33" s="4"/>
      <c r="C33" s="4"/>
      <c r="D33" s="4"/>
      <c r="E33" s="4"/>
      <c r="F33" s="4"/>
    </row>
    <row r="34" customFormat="false" ht="15" hidden="false" customHeight="false" outlineLevel="0" collapsed="false">
      <c r="A34" s="7" t="s">
        <v>47</v>
      </c>
      <c r="B34" s="20" t="n">
        <v>200</v>
      </c>
      <c r="G34" s="2" t="s">
        <v>48</v>
      </c>
    </row>
    <row r="35" customFormat="false" ht="15" hidden="false" customHeight="false" outlineLevel="0" collapsed="false">
      <c r="A35" s="7" t="s">
        <v>49</v>
      </c>
      <c r="B35" s="10" t="n">
        <v>0.05</v>
      </c>
      <c r="G35" s="2" t="s">
        <v>50</v>
      </c>
    </row>
    <row r="36" customFormat="false" ht="15" hidden="false" customHeight="false" outlineLevel="0" collapsed="false">
      <c r="A36" s="7" t="s">
        <v>51</v>
      </c>
      <c r="B36" s="12" t="n">
        <v>1</v>
      </c>
      <c r="C36" s="12" t="n">
        <v>1.25</v>
      </c>
      <c r="D36" s="12" t="n">
        <v>1.35</v>
      </c>
      <c r="E36" s="12" t="n">
        <v>1.15</v>
      </c>
      <c r="F36" s="12" t="n">
        <v>0.98</v>
      </c>
      <c r="G36" s="2" t="s">
        <v>52</v>
      </c>
    </row>
    <row r="37" customFormat="false" ht="15" hidden="false" customHeight="false" outlineLevel="0" collapsed="false">
      <c r="A37" s="7" t="s">
        <v>53</v>
      </c>
      <c r="B37" s="20" t="n">
        <v>110</v>
      </c>
      <c r="G37" s="2" t="s">
        <v>54</v>
      </c>
    </row>
    <row r="38" customFormat="false" ht="15" hidden="false" customHeight="false" outlineLevel="0" collapsed="false">
      <c r="A38" s="7" t="s">
        <v>55</v>
      </c>
      <c r="B38" s="10" t="n">
        <v>0.18</v>
      </c>
      <c r="G38" s="2" t="s">
        <v>56</v>
      </c>
    </row>
    <row r="40" customFormat="false" ht="15" hidden="false" customHeight="false" outlineLevel="0" collapsed="false">
      <c r="A40" s="3" t="s">
        <v>57</v>
      </c>
      <c r="B40" s="4"/>
      <c r="C40" s="4"/>
      <c r="D40" s="4"/>
      <c r="E40" s="4"/>
      <c r="F40" s="4"/>
    </row>
    <row r="41" customFormat="false" ht="15" hidden="false" customHeight="false" outlineLevel="0" collapsed="false">
      <c r="A41" s="7" t="s">
        <v>58</v>
      </c>
      <c r="B41" s="18" t="n">
        <v>4</v>
      </c>
      <c r="G41" s="2" t="s">
        <v>59</v>
      </c>
    </row>
    <row r="42" customFormat="false" ht="15" hidden="false" customHeight="false" outlineLevel="0" collapsed="false">
      <c r="A42" s="7" t="s">
        <v>60</v>
      </c>
      <c r="B42" s="10" t="n">
        <v>0.8</v>
      </c>
      <c r="G42" s="2" t="s">
        <v>61</v>
      </c>
    </row>
    <row r="43" customFormat="false" ht="15" hidden="false" customHeight="false" outlineLevel="0" collapsed="false">
      <c r="A43" s="7" t="s">
        <v>62</v>
      </c>
      <c r="B43" s="9" t="n">
        <v>0.6</v>
      </c>
      <c r="G43" s="2" t="s">
        <v>63</v>
      </c>
    </row>
    <row r="44" customFormat="false" ht="15" hidden="false" customHeight="false" outlineLevel="0" collapsed="false">
      <c r="A44" s="7" t="s">
        <v>64</v>
      </c>
      <c r="B44" s="21" t="n">
        <v>12</v>
      </c>
      <c r="G44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10" min="2" style="0" width="11"/>
  </cols>
  <sheetData>
    <row r="1" customFormat="false" ht="16.15" hidden="false" customHeight="false" outlineLevel="0" collapsed="false">
      <c r="A1" s="22" t="s">
        <v>66</v>
      </c>
    </row>
    <row r="3" customFormat="false" ht="15" hidden="false" customHeight="false" outlineLevel="0" collapsed="false">
      <c r="A3" s="6" t="s">
        <v>67</v>
      </c>
      <c r="B3" s="23" t="n">
        <v>2023</v>
      </c>
      <c r="C3" s="23" t="n">
        <v>2024</v>
      </c>
      <c r="D3" s="23" t="n">
        <v>2025</v>
      </c>
      <c r="E3" s="24" t="n">
        <v>2026</v>
      </c>
      <c r="F3" s="24" t="n">
        <v>2027</v>
      </c>
      <c r="G3" s="24" t="n">
        <v>2028</v>
      </c>
      <c r="H3" s="24" t="n">
        <v>2029</v>
      </c>
      <c r="I3" s="24" t="n">
        <v>2030</v>
      </c>
    </row>
    <row r="5" customFormat="false" ht="15" hidden="false" customHeight="false" outlineLevel="0" collapsed="false">
      <c r="A5" s="3" t="s">
        <v>68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false" outlineLevel="0" collapsed="false">
      <c r="A6" s="7" t="s">
        <v>8</v>
      </c>
      <c r="B6" s="25" t="n">
        <f aca="false">IF(B$3&lt;2026,Assumptions!$B$7*(Assumptions!$C$7/Assumptions!$B$7)^((B$3-2023)/3),Assumptions!$B$5+(Assumptions!$C$7-Assumptions!$B$5)*(1-Assumptions!$D$7)^(B$3-2026))</f>
        <v>37.5</v>
      </c>
      <c r="C6" s="25" t="n">
        <f aca="false">IF(C$3&lt;2026,Assumptions!$B$7*(Assumptions!$C$7/Assumptions!$B$7)^((C$3-2023)/3),Assumptions!$B$5+(Assumptions!$C$7-Assumptions!$B$5)*(1-Assumptions!$D$7)^(C$3-2026))</f>
        <v>24.1372346151407</v>
      </c>
      <c r="D6" s="25" t="n">
        <f aca="false">IF(D$3&lt;2026,Assumptions!$B$7*(Assumptions!$C$7/Assumptions!$B$7)^((D$3-2023)/3),Assumptions!$B$5+(Assumptions!$C$7-Assumptions!$B$5)*(1-Assumptions!$D$7)^(D$3-2026))</f>
        <v>15.5361625297693</v>
      </c>
      <c r="E6" s="25" t="n">
        <f aca="false">IF(E$3&lt;2026,Assumptions!$B$7*(Assumptions!$C$7/Assumptions!$B$7)^((E$3-2023)/3),Assumptions!$B$5+(Assumptions!$C$7-Assumptions!$B$5)*(1-Assumptions!$D$7)^(E$3-2026))</f>
        <v>10</v>
      </c>
      <c r="F6" s="25" t="n">
        <f aca="false">IF(F$3&lt;2026,Assumptions!$B$7*(Assumptions!$C$7/Assumptions!$B$7)^((F$3-2023)/3),Assumptions!$B$5+(Assumptions!$C$7-Assumptions!$B$5)*(1-Assumptions!$D$7)^(F$3-2026))</f>
        <v>8.2072</v>
      </c>
      <c r="G6" s="25" t="n">
        <f aca="false">IF(G$3&lt;2026,Assumptions!$B$7*(Assumptions!$C$7/Assumptions!$B$7)^((G$3-2023)/3),Assumptions!$B$5+(Assumptions!$C$7-Assumptions!$B$5)*(1-Assumptions!$D$7)^(G$3-2026))</f>
        <v>6.737104</v>
      </c>
      <c r="H6" s="25" t="n">
        <f aca="false">IF(H$3&lt;2026,Assumptions!$B$7*(Assumptions!$C$7/Assumptions!$B$7)^((H$3-2023)/3),Assumptions!$B$5+(Assumptions!$C$7-Assumptions!$B$5)*(1-Assumptions!$D$7)^(H$3-2026))</f>
        <v>5.53162528</v>
      </c>
      <c r="I6" s="25" t="n">
        <f aca="false">IF(I$3&lt;2026,Assumptions!$B$7*(Assumptions!$C$7/Assumptions!$B$7)^((I$3-2023)/3),Assumptions!$B$5+(Assumptions!$C$7-Assumptions!$B$5)*(1-Assumptions!$D$7)^(I$3-2026))</f>
        <v>4.5431327296</v>
      </c>
    </row>
    <row r="7" customFormat="false" ht="15" hidden="false" customHeight="false" outlineLevel="0" collapsed="false">
      <c r="A7" s="7" t="s">
        <v>10</v>
      </c>
      <c r="B7" s="25" t="n">
        <f aca="false">IF(B$3&lt;2026,Assumptions!$B$8*(Assumptions!$C$8/Assumptions!$B$8)^((B$3-2023)/3),Assumptions!$B$5+(Assumptions!$C$8-Assumptions!$B$5)*(1-Assumptions!$D$8)^(B$3-2026))</f>
        <v>15</v>
      </c>
      <c r="C7" s="25" t="n">
        <f aca="false">IF(C$3&lt;2026,Assumptions!$B$8*(Assumptions!$C$8/Assumptions!$B$8)^((C$3-2023)/3),Assumptions!$B$5+(Assumptions!$C$8-Assumptions!$B$5)*(1-Assumptions!$D$8)^(C$3-2026))</f>
        <v>10.4004191152595</v>
      </c>
      <c r="D7" s="25" t="n">
        <f aca="false">IF(D$3&lt;2026,Assumptions!$B$8*(Assumptions!$C$8/Assumptions!$B$8)^((D$3-2023)/3),Assumptions!$B$5+(Assumptions!$C$8-Assumptions!$B$5)*(1-Assumptions!$D$8)^(D$3-2026))</f>
        <v>7.21124785153704</v>
      </c>
      <c r="E7" s="25" t="n">
        <f aca="false">IF(E$3&lt;2026,Assumptions!$B$8*(Assumptions!$C$8/Assumptions!$B$8)^((E$3-2023)/3),Assumptions!$B$5+(Assumptions!$C$8-Assumptions!$B$5)*(1-Assumptions!$D$8)^(E$3-2026))</f>
        <v>5</v>
      </c>
      <c r="F7" s="25" t="n">
        <f aca="false">IF(F$3&lt;2026,Assumptions!$B$8*(Assumptions!$C$8/Assumptions!$B$8)^((F$3-2023)/3),Assumptions!$B$5+(Assumptions!$C$8-Assumptions!$B$5)*(1-Assumptions!$D$8)^(F$3-2026))</f>
        <v>3.264</v>
      </c>
      <c r="G7" s="25" t="n">
        <f aca="false">IF(G$3&lt;2026,Assumptions!$B$8*(Assumptions!$C$8/Assumptions!$B$8)^((G$3-2023)/3),Assumptions!$B$5+(Assumptions!$C$8-Assumptions!$B$5)*(1-Assumptions!$D$8)^(G$3-2026))</f>
        <v>2.1356</v>
      </c>
      <c r="H7" s="25" t="n">
        <f aca="false">IF(H$3&lt;2026,Assumptions!$B$8*(Assumptions!$C$8/Assumptions!$B$8)^((H$3-2023)/3),Assumptions!$B$5+(Assumptions!$C$8-Assumptions!$B$5)*(1-Assumptions!$D$8)^(H$3-2026))</f>
        <v>1.40214</v>
      </c>
      <c r="I7" s="25" t="n">
        <f aca="false">IF(I$3&lt;2026,Assumptions!$B$8*(Assumptions!$C$8/Assumptions!$B$8)^((I$3-2023)/3),Assumptions!$B$5+(Assumptions!$C$8-Assumptions!$B$5)*(1-Assumptions!$D$8)^(I$3-2026))</f>
        <v>0.925391</v>
      </c>
    </row>
    <row r="8" customFormat="false" ht="15" hidden="false" customHeight="false" outlineLevel="0" collapsed="false">
      <c r="A8" s="7" t="s">
        <v>12</v>
      </c>
      <c r="B8" s="25" t="n">
        <f aca="false">IF(B$3&lt;2026,Assumptions!$B$9*(Assumptions!$C$9/Assumptions!$B$9)^((B$3-2023)/3),Assumptions!$B$5+(Assumptions!$C$9-Assumptions!$B$5)*(1-Assumptions!$D$9)^(B$3-2026))</f>
        <v>1</v>
      </c>
      <c r="C8" s="25" t="n">
        <f aca="false">IF(C$3&lt;2026,Assumptions!$B$9*(Assumptions!$C$9/Assumptions!$B$9)^((C$3-2023)/3),Assumptions!$B$5+(Assumptions!$C$9-Assumptions!$B$5)*(1-Assumptions!$D$9)^(C$3-2026))</f>
        <v>0.819321270600646</v>
      </c>
      <c r="D8" s="25" t="n">
        <f aca="false">IF(D$3&lt;2026,Assumptions!$B$9*(Assumptions!$C$9/Assumptions!$B$9)^((D$3-2023)/3),Assumptions!$B$5+(Assumptions!$C$9-Assumptions!$B$5)*(1-Assumptions!$D$9)^(D$3-2026))</f>
        <v>0.671287344458657</v>
      </c>
      <c r="E8" s="25" t="n">
        <f aca="false">IF(E$3&lt;2026,Assumptions!$B$9*(Assumptions!$C$9/Assumptions!$B$9)^((E$3-2023)/3),Assumptions!$B$5+(Assumptions!$C$9-Assumptions!$B$5)*(1-Assumptions!$D$9)^(E$3-2026))</f>
        <v>0.55</v>
      </c>
      <c r="F8" s="25" t="n">
        <f aca="false">IF(F$3&lt;2026,Assumptions!$B$9*(Assumptions!$C$9/Assumptions!$B$9)^((F$3-2023)/3),Assumptions!$B$5+(Assumptions!$C$9-Assumptions!$B$5)*(1-Assumptions!$D$9)^(F$3-2026))</f>
        <v>0.31183</v>
      </c>
      <c r="G8" s="25" t="n">
        <f aca="false">IF(G$3&lt;2026,Assumptions!$B$9*(Assumptions!$C$9/Assumptions!$B$9)^((G$3-2023)/3),Assumptions!$B$5+(Assumptions!$C$9-Assumptions!$B$5)*(1-Assumptions!$D$9)^(G$3-2026))</f>
        <v>0.18488539</v>
      </c>
      <c r="H8" s="25" t="n">
        <f aca="false">IF(H$3&lt;2026,Assumptions!$B$9*(Assumptions!$C$9/Assumptions!$B$9)^((H$3-2023)/3),Assumptions!$B$5+(Assumptions!$C$9-Assumptions!$B$5)*(1-Assumptions!$D$9)^(H$3-2026))</f>
        <v>0.11722391287</v>
      </c>
      <c r="I8" s="25" t="n">
        <f aca="false">IF(I$3&lt;2026,Assumptions!$B$9*(Assumptions!$C$9/Assumptions!$B$9)^((I$3-2023)/3),Assumptions!$B$5+(Assumptions!$C$9-Assumptions!$B$5)*(1-Assumptions!$D$9)^(I$3-2026))</f>
        <v>0.08116034555971</v>
      </c>
    </row>
    <row r="9" customFormat="false" ht="15" hidden="false" customHeight="false" outlineLevel="0" collapsed="false">
      <c r="A9" s="7" t="s">
        <v>14</v>
      </c>
      <c r="B9" s="25" t="n">
        <f aca="false">IF(B$3&lt;2026,Assumptions!$B$10*(Assumptions!$C$10/Assumptions!$B$10)^((B$3-2023)/3),Assumptions!$B$5+(Assumptions!$C$10-Assumptions!$B$5)*(1-Assumptions!$D$10)^(B$3-2026))</f>
        <v>2</v>
      </c>
      <c r="C9" s="25" t="n">
        <f aca="false">IF(C$3&lt;2026,Assumptions!$B$10*(Assumptions!$C$10/Assumptions!$B$10)^((C$3-2023)/3),Assumptions!$B$5+(Assumptions!$C$10-Assumptions!$B$5)*(1-Assumptions!$D$10)^(C$3-2026))</f>
        <v>1.1186889420814</v>
      </c>
      <c r="D9" s="25" t="n">
        <f aca="false">IF(D$3&lt;2026,Assumptions!$B$10*(Assumptions!$C$10/Assumptions!$B$10)^((D$3-2023)/3),Assumptions!$B$5+(Assumptions!$C$10-Assumptions!$B$5)*(1-Assumptions!$D$10)^(D$3-2026))</f>
        <v>0.625732474567597</v>
      </c>
      <c r="E9" s="25" t="n">
        <f aca="false">IF(E$3&lt;2026,Assumptions!$B$10*(Assumptions!$C$10/Assumptions!$B$10)^((E$3-2023)/3),Assumptions!$B$5+(Assumptions!$C$10-Assumptions!$B$5)*(1-Assumptions!$D$10)^(E$3-2026))</f>
        <v>0.35</v>
      </c>
      <c r="F9" s="25" t="n">
        <f aca="false">IF(F$3&lt;2026,Assumptions!$B$10*(Assumptions!$C$10/Assumptions!$B$10)^((F$3-2023)/3),Assumptions!$B$5+(Assumptions!$C$10-Assumptions!$B$5)*(1-Assumptions!$D$10)^(F$3-2026))</f>
        <v>0.20523</v>
      </c>
      <c r="G9" s="25" t="n">
        <f aca="false">IF(G$3&lt;2026,Assumptions!$B$10*(Assumptions!$C$10/Assumptions!$B$10)^((G$3-2023)/3),Assumptions!$B$5+(Assumptions!$C$10-Assumptions!$B$5)*(1-Assumptions!$D$10)^(G$3-2026))</f>
        <v>0.12806759</v>
      </c>
      <c r="H9" s="25" t="n">
        <f aca="false">IF(H$3&lt;2026,Assumptions!$B$10*(Assumptions!$C$10/Assumptions!$B$10)^((H$3-2023)/3),Assumptions!$B$5+(Assumptions!$C$10-Assumptions!$B$5)*(1-Assumptions!$D$10)^(H$3-2026))</f>
        <v>0.08694002547</v>
      </c>
      <c r="I9" s="25" t="n">
        <f aca="false">IF(I$3&lt;2026,Assumptions!$B$10*(Assumptions!$C$10/Assumptions!$B$10)^((I$3-2023)/3),Assumptions!$B$5+(Assumptions!$C$10-Assumptions!$B$5)*(1-Assumptions!$D$10)^(I$3-2026))</f>
        <v>0.06501903357551</v>
      </c>
    </row>
    <row r="10" customFormat="false" ht="15" hidden="false" customHeight="false" outlineLevel="0" collapsed="false">
      <c r="A10" s="7" t="s">
        <v>69</v>
      </c>
      <c r="B10" s="25" t="n">
        <f aca="false">IF(B$3&lt;2026,B6,Assumptions!$B$5+(Assumptions!$C$7-Assumptions!$B$5)*(1-Assumptions!$D$10)^(B$3-2026))</f>
        <v>37.5</v>
      </c>
      <c r="C10" s="25" t="n">
        <f aca="false">IF(C$3&lt;2026,C6,Assumptions!$B$5+(Assumptions!$C$7-Assumptions!$B$5)*(1-Assumptions!$D$10)^(C$3-2026))</f>
        <v>24.1372346151407</v>
      </c>
      <c r="D10" s="25" t="n">
        <f aca="false">IF(D$3&lt;2026,D6,Assumptions!$B$5+(Assumptions!$C$7-Assumptions!$B$5)*(1-Assumptions!$D$10)^(D$3-2026))</f>
        <v>15.5361625297693</v>
      </c>
      <c r="E10" s="25" t="n">
        <f aca="false">IF(E$3&lt;2026,E6,Assumptions!$B$5+(Assumptions!$C$7-Assumptions!$B$5)*(1-Assumptions!$D$10)^(E$3-2026))</f>
        <v>10</v>
      </c>
      <c r="F10" s="25" t="n">
        <f aca="false">IF(F$3&lt;2026,F6,Assumptions!$B$5+(Assumptions!$C$7-Assumptions!$B$5)*(1-Assumptions!$D$10)^(F$3-2026))</f>
        <v>5.34868</v>
      </c>
      <c r="G10" s="25" t="n">
        <f aca="false">IF(G$3&lt;2026,G6,Assumptions!$B$5+(Assumptions!$C$7-Assumptions!$B$5)*(1-Assumptions!$D$10)^(G$3-2026))</f>
        <v>2.86952644</v>
      </c>
      <c r="H10" s="25" t="n">
        <f aca="false">IF(H$3&lt;2026,H6,Assumptions!$B$5+(Assumptions!$C$7-Assumptions!$B$5)*(1-Assumptions!$D$10)^(H$3-2026))</f>
        <v>1.54813759252</v>
      </c>
      <c r="I10" s="25" t="n">
        <f aca="false">IF(I$3&lt;2026,I6,Assumptions!$B$5+(Assumptions!$C$7-Assumptions!$B$5)*(1-Assumptions!$D$10)^(I$3-2026))</f>
        <v>0.84383733681316</v>
      </c>
      <c r="K10" s="2" t="s">
        <v>70</v>
      </c>
    </row>
    <row r="12" customFormat="false" ht="15" hidden="false" customHeight="false" outlineLevel="0" collapsed="false">
      <c r="A12" s="3" t="s">
        <v>71</v>
      </c>
      <c r="B12" s="4"/>
      <c r="C12" s="4"/>
      <c r="D12" s="4"/>
      <c r="E12" s="4"/>
      <c r="F12" s="4"/>
      <c r="G12" s="4"/>
      <c r="H12" s="4"/>
      <c r="I12" s="4"/>
      <c r="J12" s="4"/>
    </row>
    <row r="13" customFormat="false" ht="15" hidden="false" customHeight="false" outlineLevel="0" collapsed="false">
      <c r="A13" s="7" t="s">
        <v>72</v>
      </c>
      <c r="B13" s="26" t="n">
        <f aca="false">IF(B$3&lt;=2026,Assumptions!$B$15+(Assumptions!$B$16-Assumptions!$B$15)*(B$3-2023)/3,Assumptions!$B$16+(Assumptions!$B$17-Assumptions!$B$16)*(B$3-2026)/4)</f>
        <v>0.55</v>
      </c>
      <c r="C13" s="26" t="n">
        <f aca="false">IF(C$3&lt;=2026,Assumptions!$B$15+(Assumptions!$B$16-Assumptions!$B$15)*(C$3-2023)/3,Assumptions!$B$16+(Assumptions!$B$17-Assumptions!$B$16)*(C$3-2026)/4)</f>
        <v>0.52</v>
      </c>
      <c r="D13" s="26" t="n">
        <f aca="false">IF(D$3&lt;=2026,Assumptions!$B$15+(Assumptions!$B$16-Assumptions!$B$15)*(D$3-2023)/3,Assumptions!$B$16+(Assumptions!$B$17-Assumptions!$B$16)*(D$3-2026)/4)</f>
        <v>0.49</v>
      </c>
      <c r="E13" s="26" t="n">
        <f aca="false">IF(E$3&lt;=2026,Assumptions!$B$15+(Assumptions!$B$16-Assumptions!$B$15)*(E$3-2023)/3,Assumptions!$B$16+(Assumptions!$B$17-Assumptions!$B$16)*(E$3-2026)/4)</f>
        <v>0.46</v>
      </c>
      <c r="F13" s="26" t="n">
        <f aca="false">IF(F$3&lt;=2026,Assumptions!$B$15+(Assumptions!$B$16-Assumptions!$B$15)*(F$3-2023)/3,Assumptions!$B$16+(Assumptions!$B$17-Assumptions!$B$16)*(F$3-2026)/4)</f>
        <v>0.41</v>
      </c>
      <c r="G13" s="26" t="n">
        <f aca="false">IF(G$3&lt;=2026,Assumptions!$B$15+(Assumptions!$B$16-Assumptions!$B$15)*(G$3-2023)/3,Assumptions!$B$16+(Assumptions!$B$17-Assumptions!$B$16)*(G$3-2026)/4)</f>
        <v>0.36</v>
      </c>
      <c r="H13" s="26" t="n">
        <f aca="false">IF(H$3&lt;=2026,Assumptions!$B$15+(Assumptions!$B$16-Assumptions!$B$15)*(H$3-2023)/3,Assumptions!$B$16+(Assumptions!$B$17-Assumptions!$B$16)*(H$3-2026)/4)</f>
        <v>0.31</v>
      </c>
      <c r="I13" s="26" t="n">
        <f aca="false">IF(I$3&lt;=2026,Assumptions!$B$15+(Assumptions!$B$16-Assumptions!$B$15)*(I$3-2023)/3,Assumptions!$B$16+(Assumptions!$B$17-Assumptions!$B$16)*(I$3-2026)/4)</f>
        <v>0.26</v>
      </c>
    </row>
    <row r="14" customFormat="false" ht="15" hidden="false" customHeight="false" outlineLevel="0" collapsed="false">
      <c r="A14" s="7" t="s">
        <v>73</v>
      </c>
      <c r="B14" s="27" t="n">
        <f aca="false">MIN(0.99,((B6-B9*(1+Assumptions!$B$13))/(B13*B6*Assumptions!$B$14))^(1/(Assumptions!$B$14-1)))</f>
        <v>0.801957301111451</v>
      </c>
      <c r="C14" s="27" t="n">
        <f aca="false">MIN(0.99,((C6-C9*(1+Assumptions!$B$13))/(C13*C6*Assumptions!$B$14))^(1/(Assumptions!$B$14-1)))</f>
        <v>0.809393895124201</v>
      </c>
      <c r="D14" s="27" t="n">
        <f aca="false">MIN(0.99,((D6-D9*(1+Assumptions!$B$13))/(D13*D6*Assumptions!$B$14))^(1/(Assumptions!$B$14-1)))</f>
        <v>0.817151441899413</v>
      </c>
      <c r="E14" s="27" t="n">
        <f aca="false">MIN(0.99,((E6-E9*(1+Assumptions!$B$13))/(E13*E6*Assumptions!$B$14))^(1/(Assumptions!$B$14-1)))</f>
        <v>0.825307434737033</v>
      </c>
      <c r="F14" s="27" t="n">
        <f aca="false">MIN(0.99,((F6-F9*(1+Assumptions!$B$13))/(F13*F6*Assumptions!$B$14))^(1/(Assumptions!$B$14-1)))</f>
        <v>0.840414305761981</v>
      </c>
      <c r="G14" s="27" t="n">
        <f aca="false">MIN(0.99,((G6-G9*(1+Assumptions!$B$13))/(G13*G6*Assumptions!$B$14))^(1/(Assumptions!$B$14-1)))</f>
        <v>0.857040164279065</v>
      </c>
      <c r="H14" s="27" t="n">
        <f aca="false">MIN(0.99,((H6-H9*(1+Assumptions!$B$13))/(H13*H6*Assumptions!$B$14))^(1/(Assumptions!$B$14-1)))</f>
        <v>0.876028280007791</v>
      </c>
      <c r="I14" s="27" t="n">
        <f aca="false">MIN(0.99,((I6-I9*(1+Assumptions!$B$13))/(I13*I6*Assumptions!$B$14))^(1/(Assumptions!$B$14-1)))</f>
        <v>0.898530415008189</v>
      </c>
      <c r="K14" s="2" t="s">
        <v>74</v>
      </c>
    </row>
    <row r="15" customFormat="false" ht="15" hidden="false" customHeight="false" outlineLevel="0" collapsed="false">
      <c r="A15" s="7" t="s">
        <v>75</v>
      </c>
      <c r="B15" s="28" t="n">
        <f aca="false">B14*B9*(1+Assumptions!$B$13)+(1-B14)*B6+B13*B6*B14^Assumptions!$B$14</f>
        <v>12.7997151257673</v>
      </c>
      <c r="C15" s="28" t="n">
        <f aca="false">C14*C9*(1+Assumptions!$B$13)+(1-C14)*C6+C13*C6*C14^Assumptions!$B$14</f>
        <v>7.95388969056499</v>
      </c>
      <c r="D15" s="28" t="n">
        <f aca="false">D14*D9*(1+Assumptions!$B$13)+(1-D14)*D6+D13*D6*D14^Assumptions!$B$14</f>
        <v>4.94220355113044</v>
      </c>
      <c r="E15" s="28" t="n">
        <f aca="false">E14*E9*(1+Assumptions!$B$13)+(1-E14)*E6+E13*E6*E14^Assumptions!$B$14</f>
        <v>3.06922290822241</v>
      </c>
      <c r="F15" s="28" t="n">
        <f aca="false">F14*F9*(1+Assumptions!$B$13)+(1-F14)*F6+F13*F6*F14^Assumptions!$B$14</f>
        <v>2.34548896292784</v>
      </c>
      <c r="G15" s="28" t="n">
        <f aca="false">G14*G9*(1+Assumptions!$B$13)+(1-G14)*G6+G13*G6*G14^Assumptions!$B$14</f>
        <v>1.79532643349025</v>
      </c>
      <c r="H15" s="28" t="n">
        <f aca="false">H14*H9*(1+Assumptions!$B$13)+(1-H14)*H6+H13*H6*H14^Assumptions!$B$14</f>
        <v>1.36813555575716</v>
      </c>
      <c r="I15" s="28" t="n">
        <f aca="false">I14*I9*(1+Assumptions!$B$13)+(1-I14)*I6+I13*I6*I14^Assumptions!$B$14</f>
        <v>1.03004437384799</v>
      </c>
    </row>
    <row r="16" customFormat="false" ht="15" hidden="false" customHeight="false" outlineLevel="0" collapsed="false">
      <c r="A16" s="7" t="s">
        <v>76</v>
      </c>
      <c r="B16" s="10" t="n">
        <v>0.05</v>
      </c>
      <c r="C16" s="10" t="n">
        <v>0.08</v>
      </c>
      <c r="D16" s="10" t="n">
        <v>0.12</v>
      </c>
      <c r="E16" s="10" t="n">
        <v>0.15</v>
      </c>
      <c r="F16" s="10" t="n">
        <v>0.22</v>
      </c>
      <c r="G16" s="10" t="n">
        <v>0.3</v>
      </c>
      <c r="H16" s="10" t="n">
        <v>0.37</v>
      </c>
      <c r="I16" s="10" t="n">
        <v>0.45</v>
      </c>
      <c r="K16" s="2" t="s">
        <v>77</v>
      </c>
    </row>
    <row r="17" customFormat="false" ht="15" hidden="false" customHeight="false" outlineLevel="0" collapsed="false">
      <c r="A17" s="7" t="s">
        <v>78</v>
      </c>
      <c r="B17" s="28" t="n">
        <f aca="false">B16*B9*(1+Assumptions!$B$13)+(1-B16)*B6+B13*B6*B16^Assumptions!$B$14</f>
        <v>35.7400000008057</v>
      </c>
      <c r="C17" s="28" t="n">
        <f aca="false">C16*C9*(1+Assumptions!$B$13)+(1-C16)*C6+C13*C6*C16^Assumptions!$B$14</f>
        <v>22.3091752496587</v>
      </c>
      <c r="D17" s="28" t="n">
        <f aca="false">D16*D9*(1+Assumptions!$B$13)+(1-D16)*D6+D13*D6*D16^Assumptions!$B$14</f>
        <v>13.7581744350203</v>
      </c>
      <c r="E17" s="28" t="n">
        <f aca="false">E16*E9*(1+Assumptions!$B$13)+(1-E16)*E6+E13*E6*E16^Assumptions!$B$14</f>
        <v>8.56037617892969</v>
      </c>
      <c r="F17" s="28" t="n">
        <f aca="false">F16*F9*(1+Assumptions!$B$13)+(1-F16)*F6+F13*F6*F16^Assumptions!$B$14</f>
        <v>6.45355765546804</v>
      </c>
      <c r="G17" s="28" t="n">
        <f aca="false">G16*G9*(1+Assumptions!$B$13)+(1-G16)*G6+G13*G6*G16^Assumptions!$B$14</f>
        <v>4.76031524625164</v>
      </c>
      <c r="H17" s="28" t="n">
        <f aca="false">H16*H9*(1+Assumptions!$B$13)+(1-H16)*H6+H13*H6*H16^Assumptions!$B$14</f>
        <v>3.52251922856191</v>
      </c>
      <c r="I17" s="28" t="n">
        <f aca="false">I16*I9*(1+Assumptions!$B$13)+(1-I16)*I6+I13*I6*I16^Assumptions!$B$14</f>
        <v>2.5343565781647</v>
      </c>
    </row>
    <row r="19" customFormat="false" ht="15" hidden="false" customHeight="false" outlineLevel="0" collapsed="false">
      <c r="A19" s="3" t="s">
        <v>79</v>
      </c>
      <c r="B19" s="4"/>
      <c r="C19" s="4"/>
      <c r="D19" s="4"/>
      <c r="E19" s="4"/>
      <c r="F19" s="4"/>
      <c r="G19" s="4"/>
      <c r="H19" s="4"/>
      <c r="I19" s="4"/>
      <c r="J19" s="4"/>
    </row>
    <row r="20" customFormat="false" ht="15" hidden="false" customHeight="false" outlineLevel="0" collapsed="false">
      <c r="A20" s="7" t="s">
        <v>80</v>
      </c>
      <c r="B20" s="29" t="n">
        <f aca="false">Assumptions!$B$20+(Assumptions!$B$21-Assumptions!$B$20)/(1+EXP(-Assumptions!$B$22*((B$3-2026)-Assumptions!$B$23)))</f>
        <v>1542.04946022115</v>
      </c>
      <c r="C20" s="29" t="n">
        <f aca="false">Assumptions!$B$20+(Assumptions!$B$21-Assumptions!$B$20)/(1+EXP(-Assumptions!$B$22*((C$3-2026)-Assumptions!$B$23)))</f>
        <v>4970.76894489483</v>
      </c>
      <c r="D20" s="29" t="n">
        <f aca="false">Assumptions!$B$20+(Assumptions!$B$21-Assumptions!$B$20)/(1+EXP(-Assumptions!$B$22*((D$3-2026)-Assumptions!$B$23)))</f>
        <v>28586.2297169954</v>
      </c>
      <c r="E20" s="29" t="n">
        <f aca="false">Assumptions!$B$20+(Assumptions!$B$21-Assumptions!$B$20)/(1+EXP(-Assumptions!$B$22*((E$3-2026)-Assumptions!$B$23)))</f>
        <v>142383.133815908</v>
      </c>
      <c r="F20" s="29" t="n">
        <f aca="false">Assumptions!$B$20+(Assumptions!$B$21-Assumptions!$B$20)/(1+EXP(-Assumptions!$B$22*((F$3-2026)-Assumptions!$B$23)))</f>
        <v>321071.371534874</v>
      </c>
      <c r="G20" s="29" t="n">
        <f aca="false">Assumptions!$B$20+(Assumptions!$B$21-Assumptions!$B$20)/(1+EXP(-Assumptions!$B$22*((G$3-2026)-Assumptions!$B$23)))</f>
        <v>387114.109585318</v>
      </c>
      <c r="H20" s="29" t="n">
        <f aca="false">Assumptions!$B$20+(Assumptions!$B$21-Assumptions!$B$20)/(1+EXP(-Assumptions!$B$22*((H$3-2026)-Assumptions!$B$23)))</f>
        <v>398205.987008785</v>
      </c>
      <c r="I20" s="29" t="n">
        <f aca="false">Assumptions!$B$20+(Assumptions!$B$21-Assumptions!$B$20)/(1+EXP(-Assumptions!$B$22*((I$3-2026)-Assumptions!$B$23)))</f>
        <v>399756.259135586</v>
      </c>
    </row>
    <row r="21" customFormat="false" ht="15" hidden="false" customHeight="false" outlineLevel="0" collapsed="false">
      <c r="A21" s="7" t="s">
        <v>81</v>
      </c>
      <c r="B21" s="29" t="n">
        <f aca="false">Assumptions!$B$24/B17*1000000</f>
        <v>1119.19418016503</v>
      </c>
      <c r="C21" s="29" t="str">
        <f aca="false">""</f>
        <v/>
      </c>
      <c r="D21" s="29" t="str">
        <f aca="false">""</f>
        <v/>
      </c>
      <c r="E21" s="29" t="n">
        <f aca="false">Assumptions!$B$25/E17*1000000</f>
        <v>140180.755485215</v>
      </c>
      <c r="F21" s="29" t="str">
        <f aca="false">""</f>
        <v/>
      </c>
      <c r="G21" s="29" t="str">
        <f aca="false">""</f>
        <v/>
      </c>
      <c r="H21" s="29" t="str">
        <f aca="false">""</f>
        <v/>
      </c>
      <c r="I21" s="29" t="str">
        <f aca="false">""</f>
        <v/>
      </c>
      <c r="K21" s="2" t="s">
        <v>82</v>
      </c>
    </row>
    <row r="22" customFormat="false" ht="15" hidden="false" customHeight="false" outlineLevel="0" collapsed="false">
      <c r="A22" s="7" t="s">
        <v>83</v>
      </c>
      <c r="B22" s="30" t="n">
        <f aca="false">$B$21+($E$21-$B$21)/($E$20-$B$20)*(B20-$B$20)</f>
        <v>1119.19418016503</v>
      </c>
      <c r="C22" s="30" t="n">
        <f aca="false">$B$21+($E$21-$B$21)/($E$20-$B$20)*(C20-$B$20)</f>
        <v>4504.59189275028</v>
      </c>
      <c r="D22" s="30" t="n">
        <f aca="false">$B$21+($E$21-$B$21)/($E$20-$B$20)*(D20-$B$20)</f>
        <v>27821.6719971102</v>
      </c>
      <c r="E22" s="30" t="n">
        <f aca="false">$B$21+($E$21-$B$21)/($E$20-$B$20)*(E20-$B$20)</f>
        <v>140180.755485215</v>
      </c>
      <c r="F22" s="30" t="n">
        <f aca="false">$B$21+($E$21-$B$21)/($E$20-$B$20)*(F20-$B$20)</f>
        <v>316611.272459178</v>
      </c>
      <c r="G22" s="30" t="n">
        <f aca="false">$B$21+($E$21-$B$21)/($E$20-$B$20)*(G20-$B$20)</f>
        <v>381819.56241356</v>
      </c>
      <c r="H22" s="30" t="n">
        <f aca="false">$B$21+($E$21-$B$21)/($E$20-$B$20)*(H20-$B$20)</f>
        <v>392771.294284753</v>
      </c>
      <c r="I22" s="30" t="n">
        <f aca="false">$B$21+($E$21-$B$21)/($E$20-$B$20)*(I20-$B$20)</f>
        <v>394301.978767813</v>
      </c>
      <c r="K22" s="2" t="s">
        <v>84</v>
      </c>
    </row>
    <row r="24" customFormat="false" ht="15" hidden="false" customHeight="false" outlineLevel="0" collapsed="false">
      <c r="A24" s="3" t="s">
        <v>85</v>
      </c>
      <c r="B24" s="4"/>
      <c r="C24" s="4"/>
      <c r="D24" s="4"/>
      <c r="E24" s="4"/>
      <c r="F24" s="4"/>
      <c r="G24" s="4"/>
      <c r="H24" s="4"/>
      <c r="I24" s="4"/>
      <c r="J24" s="4"/>
    </row>
    <row r="25" customFormat="false" ht="15" hidden="false" customHeight="false" outlineLevel="0" collapsed="false">
      <c r="A25" s="7" t="s">
        <v>86</v>
      </c>
      <c r="B25" s="31" t="n">
        <f aca="false">B22/1000000*B17</f>
        <v>0.04</v>
      </c>
      <c r="C25" s="31" t="n">
        <f aca="false">C22/1000000*C17</f>
        <v>0.100493729963558</v>
      </c>
      <c r="D25" s="31" t="n">
        <f aca="false">D22/1000000*D17</f>
        <v>0.382775416410163</v>
      </c>
      <c r="E25" s="31" t="n">
        <f aca="false">E22/1000000*E17</f>
        <v>1.2</v>
      </c>
      <c r="F25" s="31" t="n">
        <f aca="false">F22/1000000*F17</f>
        <v>2.04326910118641</v>
      </c>
      <c r="G25" s="31" t="n">
        <f aca="false">G22/1000000*G17</f>
        <v>1.8175814842744</v>
      </c>
      <c r="H25" s="31" t="n">
        <f aca="false">H22/1000000*H17</f>
        <v>1.38354443654519</v>
      </c>
      <c r="I25" s="31" t="n">
        <f aca="false">I22/1000000*I17</f>
        <v>0.999301813673567</v>
      </c>
    </row>
    <row r="26" customFormat="false" ht="15" hidden="false" customHeight="false" outlineLevel="0" collapsed="false">
      <c r="A26" s="7" t="s">
        <v>87</v>
      </c>
      <c r="B26" s="31" t="n">
        <f aca="false">B22/1000000*B15</f>
        <v>0.0143253666765291</v>
      </c>
      <c r="C26" s="31" t="n">
        <f aca="false">C22/1000000*C15</f>
        <v>0.0358290270159491</v>
      </c>
      <c r="D26" s="31" t="n">
        <f aca="false">D22/1000000*D15</f>
        <v>0.137500366142505</v>
      </c>
      <c r="E26" s="31" t="n">
        <f aca="false">E22/1000000*E15</f>
        <v>0.430245986027145</v>
      </c>
      <c r="F26" s="31" t="n">
        <f aca="false">F22/1000000*F15</f>
        <v>0.742608245091543</v>
      </c>
      <c r="G26" s="31" t="n">
        <f aca="false">G22/1000000*G15</f>
        <v>0.685490753224745</v>
      </c>
      <c r="H26" s="31" t="n">
        <f aca="false">H22/1000000*H15</f>
        <v>0.537364372991728</v>
      </c>
      <c r="I26" s="31" t="n">
        <f aca="false">I22/1000000*I15</f>
        <v>0.406148534826917</v>
      </c>
      <c r="K26" s="2" t="s">
        <v>88</v>
      </c>
    </row>
    <row r="28" customFormat="false" ht="15" hidden="false" customHeight="false" outlineLevel="0" collapsed="false">
      <c r="A28" s="3" t="s">
        <v>89</v>
      </c>
      <c r="B28" s="4"/>
      <c r="C28" s="4"/>
      <c r="D28" s="4"/>
      <c r="E28" s="4"/>
      <c r="F28" s="4"/>
      <c r="G28" s="4"/>
      <c r="H28" s="4"/>
      <c r="I28" s="4"/>
      <c r="J28" s="4"/>
    </row>
    <row r="29" customFormat="false" ht="15" hidden="false" customHeight="false" outlineLevel="0" collapsed="false">
      <c r="A29" s="7" t="s">
        <v>90</v>
      </c>
      <c r="B29" s="30" t="n">
        <f aca="false">Assumptions!$B$28/B17*1000</f>
        <v>47.5657526570139</v>
      </c>
      <c r="C29" s="30" t="n">
        <f aca="false">Assumptions!$B$29/C17*1000</f>
        <v>515.482973767753</v>
      </c>
      <c r="D29" s="30" t="n">
        <f aca="false">Assumptions!$B$30/D17*1000</f>
        <v>2689.31028420598</v>
      </c>
      <c r="E29" s="30" t="n">
        <f aca="false">D29*Assumptions!$B$31</f>
        <v>8067.93085261795</v>
      </c>
      <c r="F29" s="30" t="n">
        <f aca="false">E29*Assumptions!$C$31</f>
        <v>18556.2409610213</v>
      </c>
      <c r="G29" s="30" t="n">
        <f aca="false">F29*Assumptions!$D$31</f>
        <v>35256.8578259404</v>
      </c>
      <c r="H29" s="30" t="n">
        <f aca="false">G29*Assumptions!$E$31</f>
        <v>56410.9725215047</v>
      </c>
      <c r="I29" s="30" t="n">
        <f aca="false">H29*Assumptions!$F$31</f>
        <v>81795.9101561818</v>
      </c>
      <c r="K29" s="2" t="s">
        <v>91</v>
      </c>
    </row>
    <row r="30" customFormat="false" ht="15" hidden="false" customHeight="false" outlineLevel="0" collapsed="false">
      <c r="A30" s="7" t="s">
        <v>92</v>
      </c>
      <c r="B30" s="32" t="n">
        <f aca="false">B29*B17/1000</f>
        <v>1.7</v>
      </c>
      <c r="C30" s="32" t="n">
        <f aca="false">C29*C17/1000</f>
        <v>11.5</v>
      </c>
      <c r="D30" s="32" t="n">
        <f aca="false">D29*D17/1000</f>
        <v>37</v>
      </c>
      <c r="E30" s="32" t="n">
        <f aca="false">E29*E17/1000</f>
        <v>69.0645230840026</v>
      </c>
      <c r="F30" s="32" t="n">
        <f aca="false">F29*F17/1000</f>
        <v>119.753770910709</v>
      </c>
      <c r="G30" s="32" t="n">
        <f aca="false">G29*G17/1000</f>
        <v>167.833757843751</v>
      </c>
      <c r="H30" s="32" t="n">
        <f aca="false">H29*H17/1000</f>
        <v>198.708735408878</v>
      </c>
      <c r="I30" s="32" t="n">
        <f aca="false">I29*I17/1000</f>
        <v>207.300002971289</v>
      </c>
    </row>
    <row r="32" customFormat="false" ht="15" hidden="false" customHeight="false" outlineLevel="0" collapsed="false">
      <c r="A32" s="3" t="s">
        <v>93</v>
      </c>
      <c r="B32" s="4"/>
      <c r="C32" s="4"/>
      <c r="D32" s="4"/>
      <c r="E32" s="4"/>
      <c r="F32" s="4"/>
      <c r="G32" s="4"/>
      <c r="H32" s="4"/>
      <c r="I32" s="4"/>
      <c r="J32" s="4"/>
    </row>
    <row r="33" customFormat="false" ht="15" hidden="false" customHeight="false" outlineLevel="0" collapsed="false">
      <c r="A33" s="7" t="s">
        <v>94</v>
      </c>
      <c r="B33" s="33" t="n">
        <f aca="false">E6/E9</f>
        <v>28.5714285714286</v>
      </c>
    </row>
    <row r="34" customFormat="false" ht="15" hidden="false" customHeight="false" outlineLevel="0" collapsed="false">
      <c r="A34" s="7" t="s">
        <v>95</v>
      </c>
      <c r="B34" s="33" t="n">
        <f aca="false">I6/I9</f>
        <v>69.8738889178324</v>
      </c>
    </row>
    <row r="35" customFormat="false" ht="15" hidden="false" customHeight="false" outlineLevel="0" collapsed="false">
      <c r="A35" s="7" t="s">
        <v>96</v>
      </c>
      <c r="B35" s="33" t="n">
        <f aca="false">I10/I9</f>
        <v>12.9783125095695</v>
      </c>
    </row>
    <row r="36" customFormat="false" ht="15" hidden="false" customHeight="false" outlineLevel="0" collapsed="false">
      <c r="A36" s="7" t="s">
        <v>97</v>
      </c>
      <c r="B36" s="33" t="n">
        <f aca="false">I22/B22</f>
        <v>352.308818036983</v>
      </c>
    </row>
    <row r="37" customFormat="false" ht="15" hidden="false" customHeight="false" outlineLevel="0" collapsed="false">
      <c r="A37" s="7" t="s">
        <v>98</v>
      </c>
      <c r="B37" s="34" t="n">
        <f aca="false">MAX(B25:I25)</f>
        <v>2.04326910118641</v>
      </c>
    </row>
    <row r="38" customFormat="false" ht="15" hidden="false" customHeight="false" outlineLevel="0" collapsed="false">
      <c r="A38" s="7" t="s">
        <v>99</v>
      </c>
      <c r="B38" s="35" t="n">
        <f aca="false">B25</f>
        <v>0.04</v>
      </c>
    </row>
    <row r="39" customFormat="false" ht="15" hidden="false" customHeight="false" outlineLevel="0" collapsed="false">
      <c r="A39" s="7" t="s">
        <v>100</v>
      </c>
      <c r="B39" s="35" t="n">
        <f aca="false">E25</f>
        <v>1.2</v>
      </c>
    </row>
    <row r="41" customFormat="false" ht="15" hidden="false" customHeight="false" outlineLevel="0" collapsed="false">
      <c r="A41" s="3" t="s">
        <v>101</v>
      </c>
      <c r="B41" s="4"/>
      <c r="C41" s="4"/>
      <c r="D41" s="4"/>
      <c r="E41" s="4"/>
      <c r="F41" s="4"/>
      <c r="G41" s="4"/>
      <c r="H41" s="4"/>
      <c r="I41" s="4"/>
      <c r="J41" s="4"/>
    </row>
    <row r="42" customFormat="false" ht="15" hidden="false" customHeight="false" outlineLevel="0" collapsed="false">
      <c r="A42" s="6" t="s">
        <v>67</v>
      </c>
      <c r="B42" s="36" t="n">
        <v>2026</v>
      </c>
      <c r="C42" s="36" t="n">
        <v>2027</v>
      </c>
      <c r="D42" s="36" t="n">
        <v>2028</v>
      </c>
      <c r="E42" s="36" t="n">
        <v>2029</v>
      </c>
      <c r="F42" s="36" t="n">
        <v>2030</v>
      </c>
    </row>
    <row r="43" customFormat="false" ht="15" hidden="false" customHeight="false" outlineLevel="0" collapsed="false">
      <c r="A43" s="7" t="s">
        <v>102</v>
      </c>
      <c r="B43" s="37" t="n">
        <f aca="false">Assumptions!$B$34*(1-Assumptions!$B$35)^0</f>
        <v>200</v>
      </c>
      <c r="C43" s="37" t="n">
        <f aca="false">Assumptions!$B$34*(1-Assumptions!$B$35)^1</f>
        <v>190</v>
      </c>
      <c r="D43" s="37" t="n">
        <f aca="false">Assumptions!$B$34*(1-Assumptions!$B$35)^2</f>
        <v>180.5</v>
      </c>
      <c r="E43" s="37" t="n">
        <f aca="false">Assumptions!$B$34*(1-Assumptions!$B$35)^3</f>
        <v>171.475</v>
      </c>
      <c r="F43" s="37" t="n">
        <f aca="false">Assumptions!$B$34*(1-Assumptions!$B$35)^4</f>
        <v>162.90125</v>
      </c>
    </row>
    <row r="44" customFormat="false" ht="15" hidden="false" customHeight="false" outlineLevel="0" collapsed="false">
      <c r="A44" s="7" t="s">
        <v>103</v>
      </c>
      <c r="B44" s="37" t="n">
        <f aca="false">Assumptions!$B$34*Assumptions!$B$36</f>
        <v>200</v>
      </c>
      <c r="C44" s="37" t="n">
        <f aca="false">Assumptions!$B$34*Assumptions!$C$36</f>
        <v>250</v>
      </c>
      <c r="D44" s="37" t="n">
        <f aca="false">Assumptions!$B$34*Assumptions!$D$36</f>
        <v>270</v>
      </c>
      <c r="E44" s="37" t="n">
        <f aca="false">Assumptions!$B$34*Assumptions!$E$36</f>
        <v>230</v>
      </c>
      <c r="F44" s="37" t="n">
        <f aca="false">Assumptions!$B$34*Assumptions!$F$36</f>
        <v>196</v>
      </c>
    </row>
    <row r="45" customFormat="false" ht="15" hidden="false" customHeight="false" outlineLevel="0" collapsed="false">
      <c r="A45" s="7" t="s">
        <v>104</v>
      </c>
      <c r="B45" s="37" t="n">
        <f aca="false">Assumptions!$B$37*(1-Assumptions!$B$38)^0</f>
        <v>110</v>
      </c>
      <c r="C45" s="37" t="n">
        <f aca="false">Assumptions!$B$37*(1-Assumptions!$B$38)^1</f>
        <v>90.2</v>
      </c>
      <c r="D45" s="37" t="n">
        <f aca="false">Assumptions!$B$37*(1-Assumptions!$B$38)^2</f>
        <v>73.964</v>
      </c>
      <c r="E45" s="37" t="n">
        <f aca="false">Assumptions!$B$37*(1-Assumptions!$B$38)^3</f>
        <v>60.65048</v>
      </c>
      <c r="F45" s="37" t="n">
        <f aca="false">Assumptions!$B$37*(1-Assumptions!$B$38)^4</f>
        <v>49.7333936</v>
      </c>
    </row>
    <row r="47" customFormat="false" ht="15" hidden="false" customHeight="false" outlineLevel="0" collapsed="false">
      <c r="A47" s="3" t="s">
        <v>105</v>
      </c>
      <c r="B47" s="4"/>
      <c r="C47" s="4"/>
      <c r="D47" s="4"/>
      <c r="E47" s="4"/>
      <c r="F47" s="4"/>
      <c r="G47" s="4"/>
      <c r="H47" s="4"/>
      <c r="I47" s="4"/>
      <c r="J47" s="4"/>
    </row>
    <row r="48" customFormat="false" ht="15" hidden="false" customHeight="false" outlineLevel="0" collapsed="false">
      <c r="A48" s="7" t="s">
        <v>106</v>
      </c>
      <c r="B48" s="27" t="n">
        <f aca="false">(Assumptions!$B$42*E9*(1+Assumptions!$B$13)+(1-Assumptions!$B$42)*E6+E13*E6*Assumptions!$B$42^Assumptions!$B$14)/E6</f>
        <v>0.3093751936</v>
      </c>
    </row>
    <row r="49" customFormat="false" ht="15" hidden="false" customHeight="false" outlineLevel="0" collapsed="false">
      <c r="A49" s="7" t="s">
        <v>107</v>
      </c>
      <c r="B49" s="32" t="n">
        <f aca="false">Assumptions!$B$41</f>
        <v>4</v>
      </c>
    </row>
    <row r="50" customFormat="false" ht="15" hidden="false" customHeight="false" outlineLevel="0" collapsed="false">
      <c r="A50" s="7" t="s">
        <v>108</v>
      </c>
      <c r="B50" s="32" t="n">
        <f aca="false">Assumptions!$B$41*(1-Assumptions!$B$43)</f>
        <v>1.6</v>
      </c>
    </row>
    <row r="51" customFormat="false" ht="15" hidden="false" customHeight="false" outlineLevel="0" collapsed="false">
      <c r="A51" s="7" t="s">
        <v>109</v>
      </c>
      <c r="B51" s="32" t="n">
        <f aca="false">B49-B50</f>
        <v>2.4</v>
      </c>
    </row>
    <row r="52" customFormat="false" ht="15" hidden="false" customHeight="false" outlineLevel="0" collapsed="false">
      <c r="A52" s="7" t="s">
        <v>110</v>
      </c>
      <c r="B52" s="32" t="n">
        <f aca="false">B51*Assumptions!$B$44</f>
        <v>28.8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2026-07-02T18:07:30Z</dcterms:created>
  <dc:creator>openpyxl</dc:creator>
  <dc:description/>
  <dc:language>en-US</dc:language>
  <cp:lastModifiedBy/>
  <dcterms:modified xsi:type="dcterms:W3CDTF">2026-07-02T18:07:30Z</dcterms:modified>
  <cp:revision>0</cp:revision>
  <dc:subject/>
  <dc:title>CostGrid - LLM Token Cost Forecast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